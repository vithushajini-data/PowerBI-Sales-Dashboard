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tables/table1.xml" ContentType="application/vnd.openxmlformats-officedocument.spreadsheetml.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120" windowWidth="19140" windowHeight="8340" activeTab="2"/>
  </bookViews>
  <sheets>
    <sheet name="Pivot Table and Chart 01" sheetId="4" r:id="rId1"/>
    <sheet name="Pivot Table and Chart 02" sheetId="5" r:id="rId2"/>
    <sheet name="Sheet1" sheetId="1" r:id="rId3"/>
    <sheet name="Dashboard" sheetId="2" r:id="rId4"/>
    <sheet name="Sheet3" sheetId="3" r:id="rId5"/>
  </sheets>
  <calcPr calcId="144525"/>
  <pivotCaches>
    <pivotCache cacheId="0" r:id="rId6"/>
  </pivotCaches>
</workbook>
</file>

<file path=xl/calcChain.xml><?xml version="1.0" encoding="utf-8"?>
<calcChain xmlns="http://schemas.openxmlformats.org/spreadsheetml/2006/main">
  <c r="K19" i="1" l="1"/>
  <c r="K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20" i="1"/>
  <c r="K21" i="1"/>
  <c r="K22" i="1"/>
  <c r="K23" i="1"/>
  <c r="K24" i="1"/>
  <c r="K25" i="1"/>
  <c r="K26" i="1"/>
  <c r="K27" i="1"/>
  <c r="K28" i="1"/>
  <c r="B4" i="2" l="1"/>
  <c r="B5" i="2"/>
  <c r="J10" i="1"/>
  <c r="J11" i="1"/>
  <c r="J22" i="1"/>
  <c r="J23" i="1"/>
  <c r="I2" i="1"/>
  <c r="J2" i="1" s="1"/>
  <c r="I3" i="1"/>
  <c r="J3" i="1" s="1"/>
  <c r="I4" i="1"/>
  <c r="J4" i="1" s="1"/>
  <c r="I5" i="1"/>
  <c r="J5" i="1" s="1"/>
  <c r="I6" i="1"/>
  <c r="J6" i="1" s="1"/>
  <c r="I7" i="1"/>
  <c r="J7" i="1" s="1"/>
  <c r="I8" i="1"/>
  <c r="J8" i="1" s="1"/>
  <c r="I9" i="1"/>
  <c r="J9" i="1" s="1"/>
  <c r="I10" i="1"/>
  <c r="I11" i="1"/>
  <c r="I12" i="1"/>
  <c r="J12" i="1" s="1"/>
  <c r="I13" i="1"/>
  <c r="J13" i="1" s="1"/>
  <c r="I14" i="1"/>
  <c r="J14" i="1" s="1"/>
  <c r="I15" i="1"/>
  <c r="J15" i="1" s="1"/>
  <c r="I16" i="1"/>
  <c r="J16" i="1" s="1"/>
  <c r="I17" i="1"/>
  <c r="J17" i="1" s="1"/>
  <c r="I18" i="1"/>
  <c r="J18" i="1" s="1"/>
  <c r="I19" i="1"/>
  <c r="J19" i="1" s="1"/>
  <c r="I20" i="1"/>
  <c r="J20" i="1" s="1"/>
  <c r="I21" i="1"/>
  <c r="J21" i="1" s="1"/>
  <c r="I22" i="1"/>
  <c r="I23" i="1"/>
  <c r="I24" i="1"/>
  <c r="J24" i="1" s="1"/>
  <c r="I25" i="1"/>
  <c r="J25" i="1" s="1"/>
  <c r="I26" i="1"/>
  <c r="J26" i="1" s="1"/>
  <c r="B3" i="2" l="1"/>
</calcChain>
</file>

<file path=xl/sharedStrings.xml><?xml version="1.0" encoding="utf-8"?>
<sst xmlns="http://schemas.openxmlformats.org/spreadsheetml/2006/main" count="153" uniqueCount="80">
  <si>
    <t>Product ID</t>
  </si>
  <si>
    <t>Product Name</t>
  </si>
  <si>
    <t>Category</t>
  </si>
  <si>
    <t>Stock In</t>
  </si>
  <si>
    <t>Stock Out</t>
  </si>
  <si>
    <t>Unit Price</t>
  </si>
  <si>
    <t>Supplier</t>
  </si>
  <si>
    <t>Date</t>
  </si>
  <si>
    <t>P001</t>
  </si>
  <si>
    <t>Rice</t>
  </si>
  <si>
    <t>Food</t>
  </si>
  <si>
    <t>Supplier A</t>
  </si>
  <si>
    <t>P002</t>
  </si>
  <si>
    <t>Sugar</t>
  </si>
  <si>
    <t>Supplier B</t>
  </si>
  <si>
    <t>P003</t>
  </si>
  <si>
    <t>Milk</t>
  </si>
  <si>
    <t>Dairy</t>
  </si>
  <si>
    <t>Supplier C</t>
  </si>
  <si>
    <t>P004</t>
  </si>
  <si>
    <t>Bread</t>
  </si>
  <si>
    <t>Bakery</t>
  </si>
  <si>
    <t>Supplier D</t>
  </si>
  <si>
    <t>P005</t>
  </si>
  <si>
    <t>Tea Powder</t>
  </si>
  <si>
    <t>Beverages</t>
  </si>
  <si>
    <t>P006</t>
  </si>
  <si>
    <t>Coffee</t>
  </si>
  <si>
    <t>P007</t>
  </si>
  <si>
    <t>Biscuit</t>
  </si>
  <si>
    <t>Snacks</t>
  </si>
  <si>
    <t>P008</t>
  </si>
  <si>
    <t>Soap</t>
  </si>
  <si>
    <t>Cleaning</t>
  </si>
  <si>
    <t>P009</t>
  </si>
  <si>
    <t>Shampoo</t>
  </si>
  <si>
    <t>P010</t>
  </si>
  <si>
    <t>Toothpaste</t>
  </si>
  <si>
    <t>P011</t>
  </si>
  <si>
    <t>Eggs</t>
  </si>
  <si>
    <t>P012</t>
  </si>
  <si>
    <t>Butter</t>
  </si>
  <si>
    <t>P013</t>
  </si>
  <si>
    <t>Cheese</t>
  </si>
  <si>
    <t>P014</t>
  </si>
  <si>
    <t>Chicken</t>
  </si>
  <si>
    <t>P015</t>
  </si>
  <si>
    <t>Fish</t>
  </si>
  <si>
    <t>P016</t>
  </si>
  <si>
    <t>Noodles</t>
  </si>
  <si>
    <t>P017</t>
  </si>
  <si>
    <t>Oil</t>
  </si>
  <si>
    <t>P018</t>
  </si>
  <si>
    <t>Salt</t>
  </si>
  <si>
    <t>P019</t>
  </si>
  <si>
    <t>Flour</t>
  </si>
  <si>
    <t>P020</t>
  </si>
  <si>
    <t>Soft Drink</t>
  </si>
  <si>
    <t>P021</t>
  </si>
  <si>
    <t>Juice</t>
  </si>
  <si>
    <t>P022</t>
  </si>
  <si>
    <t>Chips</t>
  </si>
  <si>
    <t>P023</t>
  </si>
  <si>
    <t>Detergent</t>
  </si>
  <si>
    <t>P024</t>
  </si>
  <si>
    <t>Candle</t>
  </si>
  <si>
    <t>Household</t>
  </si>
  <si>
    <t>P025</t>
  </si>
  <si>
    <t>Matches</t>
  </si>
  <si>
    <t>Current Stock</t>
  </si>
  <si>
    <t xml:space="preserve">Inventory Value </t>
  </si>
  <si>
    <t>Row Labels</t>
  </si>
  <si>
    <t>Grand Total</t>
  </si>
  <si>
    <t xml:space="preserve">Sum of Inventory Value </t>
  </si>
  <si>
    <t>Sum of Stock Out</t>
  </si>
  <si>
    <t>Total Inventory Value</t>
  </si>
  <si>
    <t>Total Products</t>
  </si>
  <si>
    <t>Low Stock Items</t>
  </si>
  <si>
    <t xml:space="preserve">                                                        Inventory Control Dashboard</t>
  </si>
  <si>
    <t xml:space="preserve">Stock Status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</si>
</sst>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2" fillId="0" borderId="0" xfId="0" applyFont="1"/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/>
    <xf numFmtId="0" fontId="3" fillId="2" borderId="4" xfId="0" applyFont="1" applyFill="1" applyBorder="1"/>
    <xf numFmtId="0" fontId="4" fillId="0" borderId="0" xfId="0" applyFont="1" applyAlignment="1">
      <alignment horizontal="center" vertical="center" wrapText="1"/>
    </xf>
  </cellXfs>
  <cellStyles count="1">
    <cellStyle name="Normal" xfId="0" builtinId="0"/>
  </cellStyles>
  <dxfs count="10">
    <dxf>
      <numFmt numFmtId="0" formatCode="General"/>
    </dxf>
    <dxf>
      <numFmt numFmtId="19" formatCode="m/d/yyyy"/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colors>
    <mruColors>
      <color rgb="FF66CC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[Inventory control data.xlsx]Pivot Table and Chart 01!PivotTable1</c:name>
    <c:fmtId val="0"/>
  </c:pivotSource>
  <c:chart>
    <c:title>
      <c:tx>
        <c:rich>
          <a:bodyPr/>
          <a:lstStyle/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8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sz="1800" b="1" i="0" baseline="0">
                <a:effectLst/>
              </a:rPr>
              <a:t>Inventory by Category</a:t>
            </a:r>
            <a:endParaRPr lang="en-US">
              <a:effectLst/>
            </a:endParaRPr>
          </a:p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8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rich>
      </c:tx>
      <c:overlay val="0"/>
    </c:title>
    <c:autoTitleDeleted val="0"/>
    <c:pivotFmts>
      <c:pivotFmt>
        <c:idx val="0"/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 and Chart 01'!$B$3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cat>
            <c:strRef>
              <c:f>'Pivot Table and Chart 01'!$A$4:$A$11</c:f>
              <c:strCache>
                <c:ptCount val="7"/>
                <c:pt idx="0">
                  <c:v>Bakery</c:v>
                </c:pt>
                <c:pt idx="1">
                  <c:v>Beverages</c:v>
                </c:pt>
                <c:pt idx="2">
                  <c:v>Cleaning</c:v>
                </c:pt>
                <c:pt idx="3">
                  <c:v>Dairy</c:v>
                </c:pt>
                <c:pt idx="4">
                  <c:v>Food</c:v>
                </c:pt>
                <c:pt idx="5">
                  <c:v>Household</c:v>
                </c:pt>
                <c:pt idx="6">
                  <c:v>Snacks</c:v>
                </c:pt>
              </c:strCache>
            </c:strRef>
          </c:cat>
          <c:val>
            <c:numRef>
              <c:f>'Pivot Table and Chart 01'!$B$4:$B$11</c:f>
              <c:numCache>
                <c:formatCode>General</c:formatCode>
                <c:ptCount val="7"/>
                <c:pt idx="0">
                  <c:v>8</c:v>
                </c:pt>
                <c:pt idx="1">
                  <c:v>1093</c:v>
                </c:pt>
                <c:pt idx="2">
                  <c:v>1086</c:v>
                </c:pt>
                <c:pt idx="3">
                  <c:v>249</c:v>
                </c:pt>
                <c:pt idx="4">
                  <c:v>2360</c:v>
                </c:pt>
                <c:pt idx="5">
                  <c:v>74</c:v>
                </c:pt>
                <c:pt idx="6">
                  <c:v>165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76364928"/>
        <c:axId val="231175296"/>
      </c:barChart>
      <c:catAx>
        <c:axId val="176364928"/>
        <c:scaling>
          <c:orientation val="minMax"/>
        </c:scaling>
        <c:delete val="0"/>
        <c:axPos val="b"/>
        <c:majorTickMark val="out"/>
        <c:minorTickMark val="none"/>
        <c:tickLblPos val="nextTo"/>
        <c:crossAx val="231175296"/>
        <c:crosses val="autoZero"/>
        <c:auto val="1"/>
        <c:lblAlgn val="ctr"/>
        <c:lblOffset val="100"/>
        <c:noMultiLvlLbl val="0"/>
      </c:catAx>
      <c:valAx>
        <c:axId val="23117529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76364928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[Inventory control data.xlsx]Pivot Table and Chart 02!PivotTable2</c:name>
    <c:fmtId val="0"/>
  </c:pivotSource>
  <c:chart>
    <c:title>
      <c:tx>
        <c:rich>
          <a:bodyPr/>
          <a:lstStyle/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8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sz="1800" b="1" i="0" baseline="0">
                <a:effectLst/>
              </a:rPr>
              <a:t>Top Selling Products</a:t>
            </a:r>
            <a:endParaRPr lang="en-US">
              <a:effectLst/>
            </a:endParaRPr>
          </a:p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8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rich>
      </c:tx>
      <c:layout/>
      <c:overlay val="0"/>
    </c:title>
    <c:autoTitleDeleted val="0"/>
    <c:pivotFmts>
      <c:pivotFmt>
        <c:idx val="0"/>
        <c:marker>
          <c:symbol val="none"/>
        </c:marker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'Pivot Table and Chart 02'!$B$3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cat>
            <c:strRef>
              <c:f>'Pivot Table and Chart 02'!$A$4:$A$29</c:f>
              <c:strCache>
                <c:ptCount val="25"/>
                <c:pt idx="0">
                  <c:v>Biscuit</c:v>
                </c:pt>
                <c:pt idx="1">
                  <c:v>Bread</c:v>
                </c:pt>
                <c:pt idx="2">
                  <c:v>Butter</c:v>
                </c:pt>
                <c:pt idx="3">
                  <c:v>Candle</c:v>
                </c:pt>
                <c:pt idx="4">
                  <c:v>Cheese</c:v>
                </c:pt>
                <c:pt idx="5">
                  <c:v>Chicken</c:v>
                </c:pt>
                <c:pt idx="6">
                  <c:v>Chips</c:v>
                </c:pt>
                <c:pt idx="7">
                  <c:v>Coffee</c:v>
                </c:pt>
                <c:pt idx="8">
                  <c:v>Detergent</c:v>
                </c:pt>
                <c:pt idx="9">
                  <c:v>Eggs</c:v>
                </c:pt>
                <c:pt idx="10">
                  <c:v>Fish</c:v>
                </c:pt>
                <c:pt idx="11">
                  <c:v>Flour</c:v>
                </c:pt>
                <c:pt idx="12">
                  <c:v>Juice</c:v>
                </c:pt>
                <c:pt idx="13">
                  <c:v>Matches</c:v>
                </c:pt>
                <c:pt idx="14">
                  <c:v>Milk</c:v>
                </c:pt>
                <c:pt idx="15">
                  <c:v>Noodles</c:v>
                </c:pt>
                <c:pt idx="16">
                  <c:v>Oil</c:v>
                </c:pt>
                <c:pt idx="17">
                  <c:v>Rice</c:v>
                </c:pt>
                <c:pt idx="18">
                  <c:v>Salt</c:v>
                </c:pt>
                <c:pt idx="19">
                  <c:v>Shampoo</c:v>
                </c:pt>
                <c:pt idx="20">
                  <c:v>Soap</c:v>
                </c:pt>
                <c:pt idx="21">
                  <c:v>Soft Drink</c:v>
                </c:pt>
                <c:pt idx="22">
                  <c:v>Sugar</c:v>
                </c:pt>
                <c:pt idx="23">
                  <c:v>Tea Powder</c:v>
                </c:pt>
                <c:pt idx="24">
                  <c:v>Toothpaste</c:v>
                </c:pt>
              </c:strCache>
            </c:strRef>
          </c:cat>
          <c:val>
            <c:numRef>
              <c:f>'Pivot Table and Chart 02'!$B$4:$B$29</c:f>
              <c:numCache>
                <c:formatCode>General</c:formatCode>
                <c:ptCount val="25"/>
                <c:pt idx="0">
                  <c:v>3</c:v>
                </c:pt>
                <c:pt idx="1">
                  <c:v>10</c:v>
                </c:pt>
                <c:pt idx="2">
                  <c:v>13</c:v>
                </c:pt>
                <c:pt idx="3">
                  <c:v>13</c:v>
                </c:pt>
                <c:pt idx="4">
                  <c:v>15</c:v>
                </c:pt>
                <c:pt idx="5">
                  <c:v>5</c:v>
                </c:pt>
                <c:pt idx="6">
                  <c:v>1</c:v>
                </c:pt>
                <c:pt idx="7">
                  <c:v>13</c:v>
                </c:pt>
                <c:pt idx="8">
                  <c:v>9</c:v>
                </c:pt>
                <c:pt idx="9">
                  <c:v>1</c:v>
                </c:pt>
                <c:pt idx="10">
                  <c:v>7</c:v>
                </c:pt>
                <c:pt idx="11">
                  <c:v>3</c:v>
                </c:pt>
                <c:pt idx="12">
                  <c:v>6</c:v>
                </c:pt>
                <c:pt idx="13">
                  <c:v>7</c:v>
                </c:pt>
                <c:pt idx="14">
                  <c:v>8</c:v>
                </c:pt>
                <c:pt idx="15">
                  <c:v>2</c:v>
                </c:pt>
                <c:pt idx="16">
                  <c:v>9</c:v>
                </c:pt>
                <c:pt idx="17">
                  <c:v>7</c:v>
                </c:pt>
                <c:pt idx="18">
                  <c:v>12</c:v>
                </c:pt>
                <c:pt idx="19">
                  <c:v>14</c:v>
                </c:pt>
                <c:pt idx="20">
                  <c:v>11</c:v>
                </c:pt>
                <c:pt idx="21">
                  <c:v>4</c:v>
                </c:pt>
                <c:pt idx="22">
                  <c:v>9</c:v>
                </c:pt>
                <c:pt idx="23">
                  <c:v>12</c:v>
                </c:pt>
                <c:pt idx="24">
                  <c:v>16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38511616"/>
        <c:axId val="238513152"/>
      </c:barChart>
      <c:catAx>
        <c:axId val="238511616"/>
        <c:scaling>
          <c:orientation val="minMax"/>
        </c:scaling>
        <c:delete val="0"/>
        <c:axPos val="l"/>
        <c:majorTickMark val="out"/>
        <c:minorTickMark val="none"/>
        <c:tickLblPos val="nextTo"/>
        <c:crossAx val="238513152"/>
        <c:crosses val="autoZero"/>
        <c:auto val="1"/>
        <c:lblAlgn val="ctr"/>
        <c:lblOffset val="100"/>
        <c:noMultiLvlLbl val="0"/>
      </c:catAx>
      <c:valAx>
        <c:axId val="238513152"/>
        <c:scaling>
          <c:orientation val="minMax"/>
        </c:scaling>
        <c:delete val="0"/>
        <c:axPos val="b"/>
        <c:majorGridlines/>
        <c:numFmt formatCode="General" sourceLinked="1"/>
        <c:majorTickMark val="out"/>
        <c:minorTickMark val="none"/>
        <c:tickLblPos val="nextTo"/>
        <c:crossAx val="238511616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[Inventory control data.xlsx]Pivot Table and Chart 01!PivotTable1</c:name>
    <c:fmtId val="2"/>
  </c:pivotSource>
  <c:chart>
    <c:title>
      <c:tx>
        <c:rich>
          <a:bodyPr/>
          <a:lstStyle/>
          <a:p>
            <a:pPr>
              <a:defRPr/>
            </a:pPr>
            <a:r>
              <a:rPr lang="en-US" sz="1800" b="1" i="0" u="none" strike="noStrike" baseline="0"/>
              <a:t>Inventory by Category</a:t>
            </a:r>
            <a:endParaRPr lang="en-US"/>
          </a:p>
        </c:rich>
      </c:tx>
      <c:overlay val="0"/>
    </c:title>
    <c:autoTitleDeleted val="0"/>
    <c:pivotFmts>
      <c:pivotFmt>
        <c:idx val="0"/>
        <c:marker>
          <c:symbol val="none"/>
        </c:marker>
      </c:pivotFmt>
      <c:pivotFmt>
        <c:idx val="1"/>
        <c:marker>
          <c:symbol val="none"/>
        </c:marker>
      </c:pivotFmt>
      <c:pivotFmt>
        <c:idx val="2"/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 and Chart 01'!$B$3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cat>
            <c:strRef>
              <c:f>'Pivot Table and Chart 01'!$A$4:$A$11</c:f>
              <c:strCache>
                <c:ptCount val="7"/>
                <c:pt idx="0">
                  <c:v>Bakery</c:v>
                </c:pt>
                <c:pt idx="1">
                  <c:v>Beverages</c:v>
                </c:pt>
                <c:pt idx="2">
                  <c:v>Cleaning</c:v>
                </c:pt>
                <c:pt idx="3">
                  <c:v>Dairy</c:v>
                </c:pt>
                <c:pt idx="4">
                  <c:v>Food</c:v>
                </c:pt>
                <c:pt idx="5">
                  <c:v>Household</c:v>
                </c:pt>
                <c:pt idx="6">
                  <c:v>Snacks</c:v>
                </c:pt>
              </c:strCache>
            </c:strRef>
          </c:cat>
          <c:val>
            <c:numRef>
              <c:f>'Pivot Table and Chart 01'!$B$4:$B$11</c:f>
              <c:numCache>
                <c:formatCode>General</c:formatCode>
                <c:ptCount val="7"/>
                <c:pt idx="0">
                  <c:v>8</c:v>
                </c:pt>
                <c:pt idx="1">
                  <c:v>1093</c:v>
                </c:pt>
                <c:pt idx="2">
                  <c:v>1086</c:v>
                </c:pt>
                <c:pt idx="3">
                  <c:v>249</c:v>
                </c:pt>
                <c:pt idx="4">
                  <c:v>2360</c:v>
                </c:pt>
                <c:pt idx="5">
                  <c:v>74</c:v>
                </c:pt>
                <c:pt idx="6">
                  <c:v>165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38272512"/>
        <c:axId val="238274048"/>
      </c:barChart>
      <c:catAx>
        <c:axId val="238272512"/>
        <c:scaling>
          <c:orientation val="minMax"/>
        </c:scaling>
        <c:delete val="0"/>
        <c:axPos val="b"/>
        <c:majorTickMark val="out"/>
        <c:minorTickMark val="none"/>
        <c:tickLblPos val="nextTo"/>
        <c:crossAx val="238274048"/>
        <c:crosses val="autoZero"/>
        <c:auto val="1"/>
        <c:lblAlgn val="ctr"/>
        <c:lblOffset val="100"/>
        <c:noMultiLvlLbl val="0"/>
      </c:catAx>
      <c:valAx>
        <c:axId val="23827404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38272512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[Inventory control data.xlsx]Pivot Table and Chart 02!PivotTable2</c:name>
    <c:fmtId val="2"/>
  </c:pivotSource>
  <c:chart>
    <c:title>
      <c:tx>
        <c:rich>
          <a:bodyPr/>
          <a:lstStyle/>
          <a:p>
            <a:pPr>
              <a:defRPr/>
            </a:pPr>
            <a:r>
              <a:rPr lang="en-US" sz="1800" b="1" i="0" u="none" strike="noStrike" baseline="0"/>
              <a:t>Top Selling Products</a:t>
            </a:r>
            <a:endParaRPr lang="en-US"/>
          </a:p>
        </c:rich>
      </c:tx>
      <c:overlay val="0"/>
    </c:title>
    <c:autoTitleDeleted val="0"/>
    <c:pivotFmts>
      <c:pivotFmt>
        <c:idx val="0"/>
        <c:marker>
          <c:symbol val="none"/>
        </c:marker>
      </c:pivotFmt>
      <c:pivotFmt>
        <c:idx val="1"/>
        <c:marker>
          <c:symbol val="none"/>
        </c:marker>
      </c:pivotFmt>
      <c:pivotFmt>
        <c:idx val="2"/>
        <c:marker>
          <c:symbol val="none"/>
        </c:marker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'Pivot Table and Chart 02'!$B$3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cat>
            <c:strRef>
              <c:f>'Pivot Table and Chart 02'!$A$4:$A$29</c:f>
              <c:strCache>
                <c:ptCount val="25"/>
                <c:pt idx="0">
                  <c:v>Biscuit</c:v>
                </c:pt>
                <c:pt idx="1">
                  <c:v>Bread</c:v>
                </c:pt>
                <c:pt idx="2">
                  <c:v>Butter</c:v>
                </c:pt>
                <c:pt idx="3">
                  <c:v>Candle</c:v>
                </c:pt>
                <c:pt idx="4">
                  <c:v>Cheese</c:v>
                </c:pt>
                <c:pt idx="5">
                  <c:v>Chicken</c:v>
                </c:pt>
                <c:pt idx="6">
                  <c:v>Chips</c:v>
                </c:pt>
                <c:pt idx="7">
                  <c:v>Coffee</c:v>
                </c:pt>
                <c:pt idx="8">
                  <c:v>Detergent</c:v>
                </c:pt>
                <c:pt idx="9">
                  <c:v>Eggs</c:v>
                </c:pt>
                <c:pt idx="10">
                  <c:v>Fish</c:v>
                </c:pt>
                <c:pt idx="11">
                  <c:v>Flour</c:v>
                </c:pt>
                <c:pt idx="12">
                  <c:v>Juice</c:v>
                </c:pt>
                <c:pt idx="13">
                  <c:v>Matches</c:v>
                </c:pt>
                <c:pt idx="14">
                  <c:v>Milk</c:v>
                </c:pt>
                <c:pt idx="15">
                  <c:v>Noodles</c:v>
                </c:pt>
                <c:pt idx="16">
                  <c:v>Oil</c:v>
                </c:pt>
                <c:pt idx="17">
                  <c:v>Rice</c:v>
                </c:pt>
                <c:pt idx="18">
                  <c:v>Salt</c:v>
                </c:pt>
                <c:pt idx="19">
                  <c:v>Shampoo</c:v>
                </c:pt>
                <c:pt idx="20">
                  <c:v>Soap</c:v>
                </c:pt>
                <c:pt idx="21">
                  <c:v>Soft Drink</c:v>
                </c:pt>
                <c:pt idx="22">
                  <c:v>Sugar</c:v>
                </c:pt>
                <c:pt idx="23">
                  <c:v>Tea Powder</c:v>
                </c:pt>
                <c:pt idx="24">
                  <c:v>Toothpaste</c:v>
                </c:pt>
              </c:strCache>
            </c:strRef>
          </c:cat>
          <c:val>
            <c:numRef>
              <c:f>'Pivot Table and Chart 02'!$B$4:$B$29</c:f>
              <c:numCache>
                <c:formatCode>General</c:formatCode>
                <c:ptCount val="25"/>
                <c:pt idx="0">
                  <c:v>3</c:v>
                </c:pt>
                <c:pt idx="1">
                  <c:v>10</c:v>
                </c:pt>
                <c:pt idx="2">
                  <c:v>13</c:v>
                </c:pt>
                <c:pt idx="3">
                  <c:v>13</c:v>
                </c:pt>
                <c:pt idx="4">
                  <c:v>15</c:v>
                </c:pt>
                <c:pt idx="5">
                  <c:v>5</c:v>
                </c:pt>
                <c:pt idx="6">
                  <c:v>1</c:v>
                </c:pt>
                <c:pt idx="7">
                  <c:v>13</c:v>
                </c:pt>
                <c:pt idx="8">
                  <c:v>9</c:v>
                </c:pt>
                <c:pt idx="9">
                  <c:v>1</c:v>
                </c:pt>
                <c:pt idx="10">
                  <c:v>7</c:v>
                </c:pt>
                <c:pt idx="11">
                  <c:v>3</c:v>
                </c:pt>
                <c:pt idx="12">
                  <c:v>6</c:v>
                </c:pt>
                <c:pt idx="13">
                  <c:v>7</c:v>
                </c:pt>
                <c:pt idx="14">
                  <c:v>8</c:v>
                </c:pt>
                <c:pt idx="15">
                  <c:v>2</c:v>
                </c:pt>
                <c:pt idx="16">
                  <c:v>9</c:v>
                </c:pt>
                <c:pt idx="17">
                  <c:v>7</c:v>
                </c:pt>
                <c:pt idx="18">
                  <c:v>12</c:v>
                </c:pt>
                <c:pt idx="19">
                  <c:v>14</c:v>
                </c:pt>
                <c:pt idx="20">
                  <c:v>11</c:v>
                </c:pt>
                <c:pt idx="21">
                  <c:v>4</c:v>
                </c:pt>
                <c:pt idx="22">
                  <c:v>9</c:v>
                </c:pt>
                <c:pt idx="23">
                  <c:v>12</c:v>
                </c:pt>
                <c:pt idx="24">
                  <c:v>16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38290432"/>
        <c:axId val="238291968"/>
      </c:barChart>
      <c:catAx>
        <c:axId val="238290432"/>
        <c:scaling>
          <c:orientation val="minMax"/>
        </c:scaling>
        <c:delete val="0"/>
        <c:axPos val="l"/>
        <c:majorTickMark val="out"/>
        <c:minorTickMark val="none"/>
        <c:tickLblPos val="nextTo"/>
        <c:crossAx val="238291968"/>
        <c:crosses val="autoZero"/>
        <c:auto val="1"/>
        <c:lblAlgn val="ctr"/>
        <c:lblOffset val="100"/>
        <c:noMultiLvlLbl val="0"/>
      </c:catAx>
      <c:valAx>
        <c:axId val="238291968"/>
        <c:scaling>
          <c:orientation val="minMax"/>
        </c:scaling>
        <c:delete val="0"/>
        <c:axPos val="b"/>
        <c:majorGridlines/>
        <c:numFmt formatCode="General" sourceLinked="1"/>
        <c:majorTickMark val="out"/>
        <c:minorTickMark val="none"/>
        <c:tickLblPos val="nextTo"/>
        <c:crossAx val="238290432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422275</xdr:colOff>
      <xdr:row>6</xdr:row>
      <xdr:rowOff>168275</xdr:rowOff>
    </xdr:from>
    <xdr:to>
      <xdr:col>10</xdr:col>
      <xdr:colOff>117475</xdr:colOff>
      <xdr:row>21</xdr:row>
      <xdr:rowOff>149225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212725</xdr:colOff>
      <xdr:row>6</xdr:row>
      <xdr:rowOff>168275</xdr:rowOff>
    </xdr:from>
    <xdr:to>
      <xdr:col>10</xdr:col>
      <xdr:colOff>517525</xdr:colOff>
      <xdr:row>21</xdr:row>
      <xdr:rowOff>149225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234956</xdr:colOff>
      <xdr:row>6</xdr:row>
      <xdr:rowOff>114300</xdr:rowOff>
    </xdr:from>
    <xdr:to>
      <xdr:col>0</xdr:col>
      <xdr:colOff>4067496</xdr:colOff>
      <xdr:row>21</xdr:row>
      <xdr:rowOff>95250</xdr:rowOff>
    </xdr:to>
    <xdr:graphicFrame macro="">
      <xdr:nvGraphicFramePr>
        <xdr:cNvPr id="6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4400551</xdr:colOff>
      <xdr:row>6</xdr:row>
      <xdr:rowOff>133350</xdr:rowOff>
    </xdr:from>
    <xdr:to>
      <xdr:col>5</xdr:col>
      <xdr:colOff>144781</xdr:colOff>
      <xdr:row>21</xdr:row>
      <xdr:rowOff>114300</xdr:rowOff>
    </xdr:to>
    <xdr:graphicFrame macro="">
      <xdr:nvGraphicFramePr>
        <xdr:cNvPr id="7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vithu" refreshedDate="46197.465501967592" createdVersion="4" refreshedVersion="4" minRefreshableVersion="3" recordCount="25">
  <cacheSource type="worksheet">
    <worksheetSource name="Table2"/>
  </cacheSource>
  <cacheFields count="10">
    <cacheField name="Product ID" numFmtId="0">
      <sharedItems/>
    </cacheField>
    <cacheField name="Product Name" numFmtId="0">
      <sharedItems count="25">
        <s v="Rice"/>
        <s v="Sugar"/>
        <s v="Milk"/>
        <s v="Bread"/>
        <s v="Tea Powder"/>
        <s v="Coffee"/>
        <s v="Biscuit"/>
        <s v="Soap"/>
        <s v="Shampoo"/>
        <s v="Toothpaste"/>
        <s v="Eggs"/>
        <s v="Butter"/>
        <s v="Cheese"/>
        <s v="Chicken"/>
        <s v="Fish"/>
        <s v="Noodles"/>
        <s v="Oil"/>
        <s v="Salt"/>
        <s v="Flour"/>
        <s v="Soft Drink"/>
        <s v="Juice"/>
        <s v="Chips"/>
        <s v="Detergent"/>
        <s v="Candle"/>
        <s v="Matches"/>
      </sharedItems>
    </cacheField>
    <cacheField name="Category" numFmtId="0">
      <sharedItems count="7">
        <s v="Food"/>
        <s v="Dairy"/>
        <s v="Bakery"/>
        <s v="Beverages"/>
        <s v="Snacks"/>
        <s v="Cleaning"/>
        <s v="Household"/>
      </sharedItems>
    </cacheField>
    <cacheField name="Stock In" numFmtId="0">
      <sharedItems containsSemiMixedTypes="0" containsString="0" containsNumber="1" containsInteger="1" minValue="100" maxValue="600"/>
    </cacheField>
    <cacheField name="Stock Out" numFmtId="0">
      <sharedItems containsSemiMixedTypes="0" containsString="0" containsNumber="1" containsInteger="1" minValue="60" maxValue="450"/>
    </cacheField>
    <cacheField name="Unit Price" numFmtId="0">
      <sharedItems containsSemiMixedTypes="0" containsString="0" containsNumber="1" minValue="0.2" maxValue="6"/>
    </cacheField>
    <cacheField name="Supplier" numFmtId="0">
      <sharedItems/>
    </cacheField>
    <cacheField name="Date" numFmtId="14">
      <sharedItems containsSemiMixedTypes="0" containsNonDate="0" containsDate="1" containsString="0" minDate="2026-01-01T00:00:00" maxDate="2026-01-26T00:00:00"/>
    </cacheField>
    <cacheField name="Current Stock" numFmtId="0">
      <sharedItems containsSemiMixedTypes="0" containsString="0" containsNumber="1" containsInteger="1" minValue="10" maxValue="400"/>
    </cacheField>
    <cacheField name="Inventory Value " numFmtId="0">
      <sharedItems containsSemiMixedTypes="0" containsString="0" containsNumber="1" containsInteger="1" minValue="8" maxValue="75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5">
  <r>
    <s v="P001"/>
    <x v="0"/>
    <x v="0"/>
    <n v="500"/>
    <n v="200"/>
    <n v="2.5"/>
    <s v="Supplier A"/>
    <d v="2026-01-01T00:00:00"/>
    <n v="300"/>
    <n v="750"/>
  </r>
  <r>
    <s v="P002"/>
    <x v="1"/>
    <x v="0"/>
    <n v="300"/>
    <n v="150"/>
    <n v="1.8"/>
    <s v="Supplier B"/>
    <d v="2026-01-02T00:00:00"/>
    <n v="150"/>
    <n v="270"/>
  </r>
  <r>
    <s v="P003"/>
    <x v="2"/>
    <x v="1"/>
    <n v="200"/>
    <n v="180"/>
    <n v="1.2"/>
    <s v="Supplier C"/>
    <d v="2026-01-03T00:00:00"/>
    <n v="20"/>
    <n v="24"/>
  </r>
  <r>
    <s v="P004"/>
    <x v="3"/>
    <x v="2"/>
    <n v="150"/>
    <n v="140"/>
    <n v="0.8"/>
    <s v="Supplier D"/>
    <d v="2026-01-04T00:00:00"/>
    <n v="10"/>
    <n v="8"/>
  </r>
  <r>
    <s v="P005"/>
    <x v="4"/>
    <x v="3"/>
    <n v="250"/>
    <n v="100"/>
    <n v="3"/>
    <s v="Supplier A"/>
    <d v="2026-01-05T00:00:00"/>
    <n v="150"/>
    <n v="450"/>
  </r>
  <r>
    <s v="P006"/>
    <x v="5"/>
    <x v="3"/>
    <n v="180"/>
    <n v="90"/>
    <n v="4.2"/>
    <s v="Supplier B"/>
    <d v="2026-01-06T00:00:00"/>
    <n v="90"/>
    <n v="378"/>
  </r>
  <r>
    <s v="P007"/>
    <x v="6"/>
    <x v="4"/>
    <n v="400"/>
    <n v="300"/>
    <n v="1"/>
    <s v="Supplier C"/>
    <d v="2026-01-07T00:00:00"/>
    <n v="100"/>
    <n v="100"/>
  </r>
  <r>
    <s v="P008"/>
    <x v="7"/>
    <x v="5"/>
    <n v="300"/>
    <n v="120"/>
    <n v="1.5"/>
    <s v="Supplier D"/>
    <d v="2026-01-08T00:00:00"/>
    <n v="180"/>
    <n v="270"/>
  </r>
  <r>
    <s v="P009"/>
    <x v="8"/>
    <x v="5"/>
    <n v="220"/>
    <n v="80"/>
    <n v="2.8"/>
    <s v="Supplier A"/>
    <d v="2026-01-09T00:00:00"/>
    <n v="140"/>
    <n v="392"/>
  </r>
  <r>
    <s v="P010"/>
    <x v="9"/>
    <x v="5"/>
    <n v="180"/>
    <n v="60"/>
    <n v="2.2000000000000002"/>
    <s v="Supplier B"/>
    <d v="2026-01-10T00:00:00"/>
    <n v="120"/>
    <n v="264"/>
  </r>
  <r>
    <s v="P011"/>
    <x v="10"/>
    <x v="0"/>
    <n v="500"/>
    <n v="450"/>
    <n v="0.5"/>
    <s v="Supplier C"/>
    <d v="2026-01-11T00:00:00"/>
    <n v="50"/>
    <n v="25"/>
  </r>
  <r>
    <s v="P012"/>
    <x v="11"/>
    <x v="1"/>
    <n v="120"/>
    <n v="90"/>
    <n v="3.5"/>
    <s v="Supplier D"/>
    <d v="2026-01-12T00:00:00"/>
    <n v="30"/>
    <n v="105"/>
  </r>
  <r>
    <s v="P013"/>
    <x v="12"/>
    <x v="1"/>
    <n v="100"/>
    <n v="70"/>
    <n v="4"/>
    <s v="Supplier A"/>
    <d v="2026-01-13T00:00:00"/>
    <n v="30"/>
    <n v="120"/>
  </r>
  <r>
    <s v="P014"/>
    <x v="13"/>
    <x v="0"/>
    <n v="300"/>
    <n v="250"/>
    <n v="5"/>
    <s v="Supplier B"/>
    <d v="2026-01-14T00:00:00"/>
    <n v="50"/>
    <n v="250"/>
  </r>
  <r>
    <s v="P015"/>
    <x v="14"/>
    <x v="0"/>
    <n v="250"/>
    <n v="200"/>
    <n v="4.8"/>
    <s v="Supplier C"/>
    <d v="2026-01-15T00:00:00"/>
    <n v="50"/>
    <n v="240"/>
  </r>
  <r>
    <s v="P016"/>
    <x v="15"/>
    <x v="0"/>
    <n v="600"/>
    <n v="400"/>
    <n v="1.2"/>
    <s v="Supplier D"/>
    <d v="2026-01-16T00:00:00"/>
    <n v="200"/>
    <n v="240"/>
  </r>
  <r>
    <s v="P017"/>
    <x v="16"/>
    <x v="0"/>
    <n v="200"/>
    <n v="150"/>
    <n v="6"/>
    <s v="Supplier A"/>
    <d v="2026-01-17T00:00:00"/>
    <n v="50"/>
    <n v="300"/>
  </r>
  <r>
    <s v="P018"/>
    <x v="17"/>
    <x v="0"/>
    <n v="500"/>
    <n v="100"/>
    <n v="0.3"/>
    <s v="Supplier B"/>
    <d v="2026-01-18T00:00:00"/>
    <n v="400"/>
    <n v="120"/>
  </r>
  <r>
    <s v="P019"/>
    <x v="18"/>
    <x v="0"/>
    <n v="450"/>
    <n v="300"/>
    <n v="1.1000000000000001"/>
    <s v="Supplier C"/>
    <d v="2026-01-19T00:00:00"/>
    <n v="150"/>
    <n v="165"/>
  </r>
  <r>
    <s v="P020"/>
    <x v="19"/>
    <x v="3"/>
    <n v="350"/>
    <n v="280"/>
    <n v="1.5"/>
    <s v="Supplier D"/>
    <d v="2026-01-20T00:00:00"/>
    <n v="70"/>
    <n v="105"/>
  </r>
  <r>
    <s v="P021"/>
    <x v="20"/>
    <x v="3"/>
    <n v="300"/>
    <n v="220"/>
    <n v="2"/>
    <s v="Supplier A"/>
    <d v="2026-01-21T00:00:00"/>
    <n v="80"/>
    <n v="160"/>
  </r>
  <r>
    <s v="P022"/>
    <x v="21"/>
    <x v="4"/>
    <n v="500"/>
    <n v="450"/>
    <n v="1.3"/>
    <s v="Supplier B"/>
    <d v="2026-01-22T00:00:00"/>
    <n v="50"/>
    <n v="65"/>
  </r>
  <r>
    <s v="P023"/>
    <x v="22"/>
    <x v="5"/>
    <n v="200"/>
    <n v="150"/>
    <n v="3.2"/>
    <s v="Supplier C"/>
    <d v="2026-01-23T00:00:00"/>
    <n v="50"/>
    <n v="160"/>
  </r>
  <r>
    <s v="P024"/>
    <x v="23"/>
    <x v="6"/>
    <n v="150"/>
    <n v="90"/>
    <n v="0.9"/>
    <s v="Supplier D"/>
    <d v="2026-01-24T00:00:00"/>
    <n v="60"/>
    <n v="54"/>
  </r>
  <r>
    <s v="P025"/>
    <x v="24"/>
    <x v="6"/>
    <n v="300"/>
    <n v="200"/>
    <n v="0.2"/>
    <s v="Supplier A"/>
    <d v="2026-01-25T00:00:00"/>
    <n v="100"/>
    <n v="2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0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chartFormat="3">
  <location ref="A3:B11" firstHeaderRow="1" firstDataRow="1" firstDataCol="1"/>
  <pivotFields count="10">
    <pivotField showAll="0"/>
    <pivotField showAll="0"/>
    <pivotField axis="axisRow" showAll="0">
      <items count="8">
        <item x="2"/>
        <item x="3"/>
        <item x="5"/>
        <item x="1"/>
        <item x="0"/>
        <item x="6"/>
        <item x="4"/>
        <item t="default"/>
      </items>
    </pivotField>
    <pivotField showAll="0"/>
    <pivotField showAll="0"/>
    <pivotField showAll="0"/>
    <pivotField showAll="0"/>
    <pivotField numFmtId="14" showAll="0"/>
    <pivotField showAll="0"/>
    <pivotField dataField="1" showAll="0"/>
  </pivotFields>
  <rowFields count="1">
    <field x="2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um of Inventory Value " fld="9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2" cacheId="0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chartFormat="3">
  <location ref="A3:B29" firstHeaderRow="1" firstDataRow="1" firstDataCol="1"/>
  <pivotFields count="10">
    <pivotField showAll="0"/>
    <pivotField axis="axisRow" showAll="0">
      <items count="26">
        <item x="6"/>
        <item x="3"/>
        <item x="11"/>
        <item x="23"/>
        <item x="12"/>
        <item x="13"/>
        <item x="21"/>
        <item x="5"/>
        <item x="22"/>
        <item x="10"/>
        <item x="14"/>
        <item x="18"/>
        <item x="20"/>
        <item x="24"/>
        <item x="2"/>
        <item x="15"/>
        <item x="16"/>
        <item x="0"/>
        <item x="17"/>
        <item x="8"/>
        <item x="7"/>
        <item x="19"/>
        <item x="1"/>
        <item x="4"/>
        <item x="9"/>
        <item t="default"/>
      </items>
    </pivotField>
    <pivotField showAll="0"/>
    <pivotField showAll="0"/>
    <pivotField dataField="1" showAll="0"/>
    <pivotField showAll="0"/>
    <pivotField showAll="0"/>
    <pivotField numFmtId="14" showAll="0"/>
    <pivotField showAll="0"/>
    <pivotField showAll="0"/>
  </pivotFields>
  <rowFields count="1">
    <field x="1"/>
  </rowFields>
  <rowItems count="2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 t="grand">
      <x/>
    </i>
  </rowItems>
  <colItems count="1">
    <i/>
  </colItems>
  <dataFields count="1">
    <dataField name="Sum of Stock Out" fld="4" baseField="1" baseItem="0">
      <extLst>
        <ext xmlns:x14="http://schemas.microsoft.com/office/spreadsheetml/2009/9/main" uri="{E15A36E0-9728-4e99-A89B-3F7291B0FE68}">
          <x14:dataField pivotShowAs="rankDescending"/>
        </ext>
      </extLst>
    </dataField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2" name="Table2" displayName="Table2" ref="A1:K28" totalsRowShown="0" headerRowDxfId="9">
  <autoFilter ref="A1:K28"/>
  <tableColumns count="11">
    <tableColumn id="1" name="Product ID" dataDxfId="8"/>
    <tableColumn id="2" name="Product Name" dataDxfId="7"/>
    <tableColumn id="3" name="Category" dataDxfId="6"/>
    <tableColumn id="4" name="Stock In" dataDxfId="5"/>
    <tableColumn id="5" name="Stock Out" dataDxfId="4"/>
    <tableColumn id="6" name="Unit Price" dataDxfId="3"/>
    <tableColumn id="7" name="Supplier" dataDxfId="2"/>
    <tableColumn id="8" name="Date" dataDxfId="1"/>
    <tableColumn id="9" name="Current Stock">
      <calculatedColumnFormula>D2-E2</calculatedColumnFormula>
    </tableColumn>
    <tableColumn id="10" name="Inventory Value ">
      <calculatedColumnFormula>I2*F2</calculatedColumnFormula>
    </tableColumn>
    <tableColumn id="11" name="Stock Status " dataDxfId="0">
      <calculatedColumnFormula>IF(I2&lt;50,"Low Stock","OK")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11"/>
  <sheetViews>
    <sheetView workbookViewId="0">
      <selection activeCell="G27" sqref="G27"/>
    </sheetView>
  </sheetViews>
  <sheetFormatPr defaultRowHeight="14.5"/>
  <cols>
    <col min="1" max="1" width="12.36328125" bestFit="1" customWidth="1"/>
    <col min="2" max="2" width="21.08984375" bestFit="1" customWidth="1"/>
  </cols>
  <sheetData>
    <row r="3" spans="1:2">
      <c r="A3" s="4" t="s">
        <v>71</v>
      </c>
      <c r="B3" t="s">
        <v>73</v>
      </c>
    </row>
    <row r="4" spans="1:2">
      <c r="A4" s="5" t="s">
        <v>21</v>
      </c>
      <c r="B4" s="6">
        <v>8</v>
      </c>
    </row>
    <row r="5" spans="1:2">
      <c r="A5" s="5" t="s">
        <v>25</v>
      </c>
      <c r="B5" s="6">
        <v>1093</v>
      </c>
    </row>
    <row r="6" spans="1:2">
      <c r="A6" s="5" t="s">
        <v>33</v>
      </c>
      <c r="B6" s="6">
        <v>1086</v>
      </c>
    </row>
    <row r="7" spans="1:2">
      <c r="A7" s="5" t="s">
        <v>17</v>
      </c>
      <c r="B7" s="6">
        <v>249</v>
      </c>
    </row>
    <row r="8" spans="1:2">
      <c r="A8" s="5" t="s">
        <v>10</v>
      </c>
      <c r="B8" s="6">
        <v>2360</v>
      </c>
    </row>
    <row r="9" spans="1:2">
      <c r="A9" s="5" t="s">
        <v>66</v>
      </c>
      <c r="B9" s="6">
        <v>74</v>
      </c>
    </row>
    <row r="10" spans="1:2">
      <c r="A10" s="5" t="s">
        <v>30</v>
      </c>
      <c r="B10" s="6">
        <v>165</v>
      </c>
    </row>
    <row r="11" spans="1:2">
      <c r="A11" s="5" t="s">
        <v>72</v>
      </c>
      <c r="B11" s="6">
        <v>5035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29"/>
  <sheetViews>
    <sheetView topLeftCell="A3" workbookViewId="0">
      <selection activeCell="B4" sqref="B4"/>
    </sheetView>
  </sheetViews>
  <sheetFormatPr defaultRowHeight="14.5"/>
  <cols>
    <col min="1" max="1" width="12.36328125" bestFit="1" customWidth="1"/>
    <col min="2" max="2" width="15.36328125" bestFit="1" customWidth="1"/>
  </cols>
  <sheetData>
    <row r="3" spans="1:2">
      <c r="A3" s="4" t="s">
        <v>71</v>
      </c>
      <c r="B3" t="s">
        <v>74</v>
      </c>
    </row>
    <row r="4" spans="1:2">
      <c r="A4" s="5" t="s">
        <v>29</v>
      </c>
      <c r="B4" s="6">
        <v>3</v>
      </c>
    </row>
    <row r="5" spans="1:2">
      <c r="A5" s="5" t="s">
        <v>20</v>
      </c>
      <c r="B5" s="6">
        <v>10</v>
      </c>
    </row>
    <row r="6" spans="1:2">
      <c r="A6" s="5" t="s">
        <v>41</v>
      </c>
      <c r="B6" s="6">
        <v>13</v>
      </c>
    </row>
    <row r="7" spans="1:2">
      <c r="A7" s="5" t="s">
        <v>65</v>
      </c>
      <c r="B7" s="6">
        <v>13</v>
      </c>
    </row>
    <row r="8" spans="1:2">
      <c r="A8" s="5" t="s">
        <v>43</v>
      </c>
      <c r="B8" s="6">
        <v>15</v>
      </c>
    </row>
    <row r="9" spans="1:2">
      <c r="A9" s="5" t="s">
        <v>45</v>
      </c>
      <c r="B9" s="6">
        <v>5</v>
      </c>
    </row>
    <row r="10" spans="1:2">
      <c r="A10" s="5" t="s">
        <v>61</v>
      </c>
      <c r="B10" s="6">
        <v>1</v>
      </c>
    </row>
    <row r="11" spans="1:2">
      <c r="A11" s="5" t="s">
        <v>27</v>
      </c>
      <c r="B11" s="6">
        <v>13</v>
      </c>
    </row>
    <row r="12" spans="1:2">
      <c r="A12" s="5" t="s">
        <v>63</v>
      </c>
      <c r="B12" s="6">
        <v>9</v>
      </c>
    </row>
    <row r="13" spans="1:2">
      <c r="A13" s="5" t="s">
        <v>39</v>
      </c>
      <c r="B13" s="6">
        <v>1</v>
      </c>
    </row>
    <row r="14" spans="1:2">
      <c r="A14" s="5" t="s">
        <v>47</v>
      </c>
      <c r="B14" s="6">
        <v>7</v>
      </c>
    </row>
    <row r="15" spans="1:2">
      <c r="A15" s="5" t="s">
        <v>55</v>
      </c>
      <c r="B15" s="6">
        <v>3</v>
      </c>
    </row>
    <row r="16" spans="1:2">
      <c r="A16" s="5" t="s">
        <v>59</v>
      </c>
      <c r="B16" s="6">
        <v>6</v>
      </c>
    </row>
    <row r="17" spans="1:2">
      <c r="A17" s="5" t="s">
        <v>68</v>
      </c>
      <c r="B17" s="6">
        <v>7</v>
      </c>
    </row>
    <row r="18" spans="1:2">
      <c r="A18" s="5" t="s">
        <v>16</v>
      </c>
      <c r="B18" s="6">
        <v>8</v>
      </c>
    </row>
    <row r="19" spans="1:2">
      <c r="A19" s="5" t="s">
        <v>49</v>
      </c>
      <c r="B19" s="6">
        <v>2</v>
      </c>
    </row>
    <row r="20" spans="1:2">
      <c r="A20" s="5" t="s">
        <v>51</v>
      </c>
      <c r="B20" s="6">
        <v>9</v>
      </c>
    </row>
    <row r="21" spans="1:2">
      <c r="A21" s="5" t="s">
        <v>9</v>
      </c>
      <c r="B21" s="6">
        <v>7</v>
      </c>
    </row>
    <row r="22" spans="1:2">
      <c r="A22" s="5" t="s">
        <v>53</v>
      </c>
      <c r="B22" s="6">
        <v>12</v>
      </c>
    </row>
    <row r="23" spans="1:2">
      <c r="A23" s="5" t="s">
        <v>35</v>
      </c>
      <c r="B23" s="6">
        <v>14</v>
      </c>
    </row>
    <row r="24" spans="1:2">
      <c r="A24" s="5" t="s">
        <v>32</v>
      </c>
      <c r="B24" s="6">
        <v>11</v>
      </c>
    </row>
    <row r="25" spans="1:2">
      <c r="A25" s="5" t="s">
        <v>57</v>
      </c>
      <c r="B25" s="6">
        <v>4</v>
      </c>
    </row>
    <row r="26" spans="1:2">
      <c r="A26" s="5" t="s">
        <v>13</v>
      </c>
      <c r="B26" s="6">
        <v>9</v>
      </c>
    </row>
    <row r="27" spans="1:2">
      <c r="A27" s="5" t="s">
        <v>24</v>
      </c>
      <c r="B27" s="6">
        <v>12</v>
      </c>
    </row>
    <row r="28" spans="1:2">
      <c r="A28" s="5" t="s">
        <v>37</v>
      </c>
      <c r="B28" s="6">
        <v>16</v>
      </c>
    </row>
    <row r="29" spans="1:2">
      <c r="A29" s="5" t="s">
        <v>72</v>
      </c>
      <c r="B29" s="6"/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8"/>
  <sheetViews>
    <sheetView tabSelected="1" zoomScale="70" zoomScaleNormal="70" workbookViewId="0">
      <selection activeCell="K2" sqref="K2"/>
    </sheetView>
  </sheetViews>
  <sheetFormatPr defaultRowHeight="14.5"/>
  <cols>
    <col min="1" max="1" width="12.6328125" customWidth="1"/>
    <col min="2" max="2" width="15.81640625" customWidth="1"/>
    <col min="3" max="3" width="11.1796875" customWidth="1"/>
    <col min="4" max="4" width="10.26953125" customWidth="1"/>
    <col min="5" max="6" width="11.90625" customWidth="1"/>
    <col min="7" max="7" width="14.90625" customWidth="1"/>
    <col min="8" max="8" width="23.90625" customWidth="1"/>
    <col min="9" max="9" width="15.7265625" customWidth="1"/>
    <col min="10" max="10" width="17.6328125" customWidth="1"/>
  </cols>
  <sheetData>
    <row r="1" spans="1:11" ht="2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69</v>
      </c>
      <c r="J1" s="1" t="s">
        <v>70</v>
      </c>
      <c r="K1" s="12" t="s">
        <v>79</v>
      </c>
    </row>
    <row r="2" spans="1:11">
      <c r="A2" s="2" t="s">
        <v>8</v>
      </c>
      <c r="B2" s="2" t="s">
        <v>9</v>
      </c>
      <c r="C2" s="2" t="s">
        <v>10</v>
      </c>
      <c r="D2" s="2">
        <v>500</v>
      </c>
      <c r="E2" s="2">
        <v>200</v>
      </c>
      <c r="F2" s="2">
        <v>2.5</v>
      </c>
      <c r="G2" s="2" t="s">
        <v>11</v>
      </c>
      <c r="H2" s="3">
        <v>46023</v>
      </c>
      <c r="I2">
        <f>D2-E2</f>
        <v>300</v>
      </c>
      <c r="J2">
        <f>I2*F2</f>
        <v>750</v>
      </c>
      <c r="K2" t="str">
        <f t="shared" ref="K2:K28" si="0">IF(I2&lt;50,"Low Stock","OK")</f>
        <v>OK</v>
      </c>
    </row>
    <row r="3" spans="1:11">
      <c r="A3" s="2" t="s">
        <v>12</v>
      </c>
      <c r="B3" s="2" t="s">
        <v>13</v>
      </c>
      <c r="C3" s="2" t="s">
        <v>10</v>
      </c>
      <c r="D3" s="2">
        <v>300</v>
      </c>
      <c r="E3" s="2">
        <v>150</v>
      </c>
      <c r="F3" s="2">
        <v>1.8</v>
      </c>
      <c r="G3" s="2" t="s">
        <v>14</v>
      </c>
      <c r="H3" s="3">
        <v>46024</v>
      </c>
      <c r="I3">
        <f t="shared" ref="I3:I26" si="1">D3-E3</f>
        <v>150</v>
      </c>
      <c r="J3">
        <f t="shared" ref="J3:J26" si="2">I3*F3</f>
        <v>270</v>
      </c>
      <c r="K3" t="str">
        <f t="shared" si="0"/>
        <v>OK</v>
      </c>
    </row>
    <row r="4" spans="1:11" ht="29">
      <c r="A4" s="2" t="s">
        <v>15</v>
      </c>
      <c r="B4" s="2" t="s">
        <v>16</v>
      </c>
      <c r="C4" s="2" t="s">
        <v>17</v>
      </c>
      <c r="D4" s="2">
        <v>200</v>
      </c>
      <c r="E4" s="2">
        <v>180</v>
      </c>
      <c r="F4" s="2">
        <v>1.2</v>
      </c>
      <c r="G4" s="2" t="s">
        <v>18</v>
      </c>
      <c r="H4" s="3">
        <v>46025</v>
      </c>
      <c r="I4">
        <f t="shared" si="1"/>
        <v>20</v>
      </c>
      <c r="J4">
        <f t="shared" si="2"/>
        <v>24</v>
      </c>
      <c r="K4" t="str">
        <f t="shared" si="0"/>
        <v>Low Stock</v>
      </c>
    </row>
    <row r="5" spans="1:11" ht="29">
      <c r="A5" s="2" t="s">
        <v>19</v>
      </c>
      <c r="B5" s="2" t="s">
        <v>20</v>
      </c>
      <c r="C5" s="2" t="s">
        <v>21</v>
      </c>
      <c r="D5" s="2">
        <v>150</v>
      </c>
      <c r="E5" s="2">
        <v>140</v>
      </c>
      <c r="F5" s="2">
        <v>0.8</v>
      </c>
      <c r="G5" s="2" t="s">
        <v>22</v>
      </c>
      <c r="H5" s="3">
        <v>46026</v>
      </c>
      <c r="I5">
        <f t="shared" si="1"/>
        <v>10</v>
      </c>
      <c r="J5">
        <f t="shared" si="2"/>
        <v>8</v>
      </c>
      <c r="K5" t="str">
        <f t="shared" si="0"/>
        <v>Low Stock</v>
      </c>
    </row>
    <row r="6" spans="1:11" ht="29">
      <c r="A6" s="2" t="s">
        <v>23</v>
      </c>
      <c r="B6" s="2" t="s">
        <v>24</v>
      </c>
      <c r="C6" s="2" t="s">
        <v>25</v>
      </c>
      <c r="D6" s="2">
        <v>250</v>
      </c>
      <c r="E6" s="2">
        <v>100</v>
      </c>
      <c r="F6" s="2">
        <v>3</v>
      </c>
      <c r="G6" s="2" t="s">
        <v>11</v>
      </c>
      <c r="H6" s="3">
        <v>46027</v>
      </c>
      <c r="I6">
        <f t="shared" si="1"/>
        <v>150</v>
      </c>
      <c r="J6">
        <f t="shared" si="2"/>
        <v>450</v>
      </c>
      <c r="K6" t="str">
        <f t="shared" si="0"/>
        <v>OK</v>
      </c>
    </row>
    <row r="7" spans="1:11" ht="29">
      <c r="A7" s="2" t="s">
        <v>26</v>
      </c>
      <c r="B7" s="2" t="s">
        <v>27</v>
      </c>
      <c r="C7" s="2" t="s">
        <v>25</v>
      </c>
      <c r="D7" s="2">
        <v>180</v>
      </c>
      <c r="E7" s="2">
        <v>90</v>
      </c>
      <c r="F7" s="2">
        <v>4.2</v>
      </c>
      <c r="G7" s="2" t="s">
        <v>14</v>
      </c>
      <c r="H7" s="3">
        <v>46028</v>
      </c>
      <c r="I7">
        <f t="shared" si="1"/>
        <v>90</v>
      </c>
      <c r="J7">
        <f t="shared" si="2"/>
        <v>378</v>
      </c>
      <c r="K7" t="str">
        <f t="shared" si="0"/>
        <v>OK</v>
      </c>
    </row>
    <row r="8" spans="1:11" ht="29">
      <c r="A8" s="2" t="s">
        <v>28</v>
      </c>
      <c r="B8" s="2" t="s">
        <v>29</v>
      </c>
      <c r="C8" s="2" t="s">
        <v>30</v>
      </c>
      <c r="D8" s="2">
        <v>400</v>
      </c>
      <c r="E8" s="2">
        <v>300</v>
      </c>
      <c r="F8" s="2">
        <v>1</v>
      </c>
      <c r="G8" s="2" t="s">
        <v>18</v>
      </c>
      <c r="H8" s="3">
        <v>46029</v>
      </c>
      <c r="I8">
        <f t="shared" si="1"/>
        <v>100</v>
      </c>
      <c r="J8">
        <f t="shared" si="2"/>
        <v>100</v>
      </c>
      <c r="K8" t="str">
        <f t="shared" si="0"/>
        <v>OK</v>
      </c>
    </row>
    <row r="9" spans="1:11" ht="29">
      <c r="A9" s="2" t="s">
        <v>31</v>
      </c>
      <c r="B9" s="2" t="s">
        <v>32</v>
      </c>
      <c r="C9" s="2" t="s">
        <v>33</v>
      </c>
      <c r="D9" s="2">
        <v>300</v>
      </c>
      <c r="E9" s="2">
        <v>120</v>
      </c>
      <c r="F9" s="2">
        <v>1.5</v>
      </c>
      <c r="G9" s="2" t="s">
        <v>22</v>
      </c>
      <c r="H9" s="3">
        <v>46030</v>
      </c>
      <c r="I9">
        <f t="shared" si="1"/>
        <v>180</v>
      </c>
      <c r="J9">
        <f t="shared" si="2"/>
        <v>270</v>
      </c>
      <c r="K9" t="str">
        <f t="shared" si="0"/>
        <v>OK</v>
      </c>
    </row>
    <row r="10" spans="1:11" ht="29">
      <c r="A10" s="2" t="s">
        <v>34</v>
      </c>
      <c r="B10" s="2" t="s">
        <v>35</v>
      </c>
      <c r="C10" s="2" t="s">
        <v>33</v>
      </c>
      <c r="D10" s="2">
        <v>220</v>
      </c>
      <c r="E10" s="2">
        <v>80</v>
      </c>
      <c r="F10" s="2">
        <v>2.8</v>
      </c>
      <c r="G10" s="2" t="s">
        <v>11</v>
      </c>
      <c r="H10" s="3">
        <v>46031</v>
      </c>
      <c r="I10">
        <f t="shared" si="1"/>
        <v>140</v>
      </c>
      <c r="J10">
        <f t="shared" si="2"/>
        <v>392</v>
      </c>
      <c r="K10" t="str">
        <f t="shared" si="0"/>
        <v>OK</v>
      </c>
    </row>
    <row r="11" spans="1:11" ht="29">
      <c r="A11" s="2" t="s">
        <v>36</v>
      </c>
      <c r="B11" s="2" t="s">
        <v>37</v>
      </c>
      <c r="C11" s="2" t="s">
        <v>33</v>
      </c>
      <c r="D11" s="2">
        <v>180</v>
      </c>
      <c r="E11" s="2">
        <v>60</v>
      </c>
      <c r="F11" s="2">
        <v>2.2000000000000002</v>
      </c>
      <c r="G11" s="2" t="s">
        <v>14</v>
      </c>
      <c r="H11" s="3">
        <v>46032</v>
      </c>
      <c r="I11">
        <f t="shared" si="1"/>
        <v>120</v>
      </c>
      <c r="J11">
        <f t="shared" si="2"/>
        <v>264</v>
      </c>
      <c r="K11" t="str">
        <f t="shared" si="0"/>
        <v>OK</v>
      </c>
    </row>
    <row r="12" spans="1:11" ht="29">
      <c r="A12" s="2" t="s">
        <v>38</v>
      </c>
      <c r="B12" s="2" t="s">
        <v>39</v>
      </c>
      <c r="C12" s="2" t="s">
        <v>10</v>
      </c>
      <c r="D12" s="2">
        <v>500</v>
      </c>
      <c r="E12" s="2">
        <v>450</v>
      </c>
      <c r="F12" s="2">
        <v>0.5</v>
      </c>
      <c r="G12" s="2" t="s">
        <v>18</v>
      </c>
      <c r="H12" s="3">
        <v>46033</v>
      </c>
      <c r="I12">
        <f t="shared" si="1"/>
        <v>50</v>
      </c>
      <c r="J12">
        <f t="shared" si="2"/>
        <v>25</v>
      </c>
      <c r="K12" t="str">
        <f t="shared" si="0"/>
        <v>OK</v>
      </c>
    </row>
    <row r="13" spans="1:11" ht="29">
      <c r="A13" s="2" t="s">
        <v>40</v>
      </c>
      <c r="B13" s="2" t="s">
        <v>41</v>
      </c>
      <c r="C13" s="2" t="s">
        <v>17</v>
      </c>
      <c r="D13" s="2">
        <v>120</v>
      </c>
      <c r="E13" s="2">
        <v>90</v>
      </c>
      <c r="F13" s="2">
        <v>3.5</v>
      </c>
      <c r="G13" s="2" t="s">
        <v>22</v>
      </c>
      <c r="H13" s="3">
        <v>46034</v>
      </c>
      <c r="I13">
        <f t="shared" si="1"/>
        <v>30</v>
      </c>
      <c r="J13">
        <f t="shared" si="2"/>
        <v>105</v>
      </c>
      <c r="K13" t="str">
        <f t="shared" si="0"/>
        <v>Low Stock</v>
      </c>
    </row>
    <row r="14" spans="1:11" ht="29">
      <c r="A14" s="2" t="s">
        <v>42</v>
      </c>
      <c r="B14" s="2" t="s">
        <v>43</v>
      </c>
      <c r="C14" s="2" t="s">
        <v>17</v>
      </c>
      <c r="D14" s="2">
        <v>100</v>
      </c>
      <c r="E14" s="2">
        <v>70</v>
      </c>
      <c r="F14" s="2">
        <v>4</v>
      </c>
      <c r="G14" s="2" t="s">
        <v>11</v>
      </c>
      <c r="H14" s="3">
        <v>46035</v>
      </c>
      <c r="I14">
        <f t="shared" si="1"/>
        <v>30</v>
      </c>
      <c r="J14">
        <f t="shared" si="2"/>
        <v>120</v>
      </c>
      <c r="K14" t="str">
        <f t="shared" si="0"/>
        <v>Low Stock</v>
      </c>
    </row>
    <row r="15" spans="1:11" ht="29">
      <c r="A15" s="2" t="s">
        <v>44</v>
      </c>
      <c r="B15" s="2" t="s">
        <v>45</v>
      </c>
      <c r="C15" s="2" t="s">
        <v>10</v>
      </c>
      <c r="D15" s="2">
        <v>300</v>
      </c>
      <c r="E15" s="2">
        <v>250</v>
      </c>
      <c r="F15" s="2">
        <v>5</v>
      </c>
      <c r="G15" s="2" t="s">
        <v>14</v>
      </c>
      <c r="H15" s="3">
        <v>46036</v>
      </c>
      <c r="I15">
        <f t="shared" si="1"/>
        <v>50</v>
      </c>
      <c r="J15">
        <f t="shared" si="2"/>
        <v>250</v>
      </c>
      <c r="K15" t="str">
        <f t="shared" si="0"/>
        <v>OK</v>
      </c>
    </row>
    <row r="16" spans="1:11" ht="29">
      <c r="A16" s="2" t="s">
        <v>46</v>
      </c>
      <c r="B16" s="2" t="s">
        <v>47</v>
      </c>
      <c r="C16" s="2" t="s">
        <v>10</v>
      </c>
      <c r="D16" s="2">
        <v>250</v>
      </c>
      <c r="E16" s="2">
        <v>200</v>
      </c>
      <c r="F16" s="2">
        <v>4.8</v>
      </c>
      <c r="G16" s="2" t="s">
        <v>18</v>
      </c>
      <c r="H16" s="3">
        <v>46037</v>
      </c>
      <c r="I16">
        <f t="shared" si="1"/>
        <v>50</v>
      </c>
      <c r="J16">
        <f t="shared" si="2"/>
        <v>240</v>
      </c>
      <c r="K16" t="str">
        <f t="shared" si="0"/>
        <v>OK</v>
      </c>
    </row>
    <row r="17" spans="1:11" ht="29">
      <c r="A17" s="2" t="s">
        <v>48</v>
      </c>
      <c r="B17" s="2" t="s">
        <v>49</v>
      </c>
      <c r="C17" s="2" t="s">
        <v>10</v>
      </c>
      <c r="D17" s="2">
        <v>600</v>
      </c>
      <c r="E17" s="2">
        <v>400</v>
      </c>
      <c r="F17" s="2">
        <v>1.2</v>
      </c>
      <c r="G17" s="2" t="s">
        <v>22</v>
      </c>
      <c r="H17" s="3">
        <v>46038</v>
      </c>
      <c r="I17">
        <f t="shared" si="1"/>
        <v>200</v>
      </c>
      <c r="J17">
        <f t="shared" si="2"/>
        <v>240</v>
      </c>
      <c r="K17" t="str">
        <f t="shared" si="0"/>
        <v>OK</v>
      </c>
    </row>
    <row r="18" spans="1:11" ht="29">
      <c r="A18" s="2" t="s">
        <v>50</v>
      </c>
      <c r="B18" s="2" t="s">
        <v>51</v>
      </c>
      <c r="C18" s="2" t="s">
        <v>10</v>
      </c>
      <c r="D18" s="2">
        <v>200</v>
      </c>
      <c r="E18" s="2">
        <v>150</v>
      </c>
      <c r="F18" s="2">
        <v>6</v>
      </c>
      <c r="G18" s="2" t="s">
        <v>11</v>
      </c>
      <c r="H18" s="3">
        <v>46039</v>
      </c>
      <c r="I18">
        <f t="shared" si="1"/>
        <v>50</v>
      </c>
      <c r="J18">
        <f t="shared" si="2"/>
        <v>300</v>
      </c>
      <c r="K18" t="str">
        <f t="shared" si="0"/>
        <v>OK</v>
      </c>
    </row>
    <row r="19" spans="1:11" ht="29">
      <c r="A19" s="2" t="s">
        <v>52</v>
      </c>
      <c r="B19" s="2" t="s">
        <v>53</v>
      </c>
      <c r="C19" s="2" t="s">
        <v>10</v>
      </c>
      <c r="D19" s="2">
        <v>500</v>
      </c>
      <c r="E19" s="2">
        <v>100</v>
      </c>
      <c r="F19" s="2">
        <v>0.3</v>
      </c>
      <c r="G19" s="2" t="s">
        <v>14</v>
      </c>
      <c r="H19" s="3">
        <v>46040</v>
      </c>
      <c r="I19">
        <f t="shared" si="1"/>
        <v>400</v>
      </c>
      <c r="J19">
        <f t="shared" si="2"/>
        <v>120</v>
      </c>
      <c r="K19" t="str">
        <f>IF(I19&lt;50,"Low Stock","OK")</f>
        <v>OK</v>
      </c>
    </row>
    <row r="20" spans="1:11">
      <c r="A20" s="2" t="s">
        <v>54</v>
      </c>
      <c r="B20" s="2" t="s">
        <v>55</v>
      </c>
      <c r="C20" s="2" t="s">
        <v>10</v>
      </c>
      <c r="D20" s="2">
        <v>450</v>
      </c>
      <c r="E20" s="2">
        <v>300</v>
      </c>
      <c r="F20" s="2">
        <v>1.1000000000000001</v>
      </c>
      <c r="G20" s="2" t="s">
        <v>18</v>
      </c>
      <c r="H20" s="3">
        <v>46041</v>
      </c>
      <c r="I20">
        <f t="shared" si="1"/>
        <v>150</v>
      </c>
      <c r="J20">
        <f t="shared" si="2"/>
        <v>165</v>
      </c>
      <c r="K20" t="str">
        <f t="shared" si="0"/>
        <v>OK</v>
      </c>
    </row>
    <row r="21" spans="1:11">
      <c r="A21" s="2" t="s">
        <v>56</v>
      </c>
      <c r="B21" s="2" t="s">
        <v>57</v>
      </c>
      <c r="C21" s="2" t="s">
        <v>25</v>
      </c>
      <c r="D21" s="2">
        <v>350</v>
      </c>
      <c r="E21" s="2">
        <v>280</v>
      </c>
      <c r="F21" s="2">
        <v>1.5</v>
      </c>
      <c r="G21" s="2" t="s">
        <v>22</v>
      </c>
      <c r="H21" s="3">
        <v>46042</v>
      </c>
      <c r="I21">
        <f t="shared" si="1"/>
        <v>70</v>
      </c>
      <c r="J21">
        <f t="shared" si="2"/>
        <v>105</v>
      </c>
      <c r="K21" t="str">
        <f t="shared" si="0"/>
        <v>OK</v>
      </c>
    </row>
    <row r="22" spans="1:11">
      <c r="A22" s="2" t="s">
        <v>58</v>
      </c>
      <c r="B22" s="2" t="s">
        <v>59</v>
      </c>
      <c r="C22" s="2" t="s">
        <v>25</v>
      </c>
      <c r="D22" s="2">
        <v>300</v>
      </c>
      <c r="E22" s="2">
        <v>220</v>
      </c>
      <c r="F22" s="2">
        <v>2</v>
      </c>
      <c r="G22" s="2" t="s">
        <v>11</v>
      </c>
      <c r="H22" s="3">
        <v>46043</v>
      </c>
      <c r="I22">
        <f t="shared" si="1"/>
        <v>80</v>
      </c>
      <c r="J22">
        <f t="shared" si="2"/>
        <v>160</v>
      </c>
      <c r="K22" t="str">
        <f t="shared" si="0"/>
        <v>OK</v>
      </c>
    </row>
    <row r="23" spans="1:11">
      <c r="A23" s="2" t="s">
        <v>60</v>
      </c>
      <c r="B23" s="2" t="s">
        <v>61</v>
      </c>
      <c r="C23" s="2" t="s">
        <v>30</v>
      </c>
      <c r="D23" s="2">
        <v>500</v>
      </c>
      <c r="E23" s="2">
        <v>450</v>
      </c>
      <c r="F23" s="2">
        <v>1.3</v>
      </c>
      <c r="G23" s="2" t="s">
        <v>14</v>
      </c>
      <c r="H23" s="3">
        <v>46044</v>
      </c>
      <c r="I23">
        <f t="shared" si="1"/>
        <v>50</v>
      </c>
      <c r="J23">
        <f t="shared" si="2"/>
        <v>65</v>
      </c>
      <c r="K23" t="str">
        <f t="shared" si="0"/>
        <v>OK</v>
      </c>
    </row>
    <row r="24" spans="1:11">
      <c r="A24" s="2" t="s">
        <v>62</v>
      </c>
      <c r="B24" s="2" t="s">
        <v>63</v>
      </c>
      <c r="C24" s="2" t="s">
        <v>33</v>
      </c>
      <c r="D24" s="2">
        <v>200</v>
      </c>
      <c r="E24" s="2">
        <v>150</v>
      </c>
      <c r="F24" s="2">
        <v>3.2</v>
      </c>
      <c r="G24" s="2" t="s">
        <v>18</v>
      </c>
      <c r="H24" s="3">
        <v>46045</v>
      </c>
      <c r="I24">
        <f t="shared" si="1"/>
        <v>50</v>
      </c>
      <c r="J24">
        <f t="shared" si="2"/>
        <v>160</v>
      </c>
      <c r="K24" t="str">
        <f t="shared" si="0"/>
        <v>OK</v>
      </c>
    </row>
    <row r="25" spans="1:11">
      <c r="A25" s="2" t="s">
        <v>64</v>
      </c>
      <c r="B25" s="2" t="s">
        <v>65</v>
      </c>
      <c r="C25" s="2" t="s">
        <v>66</v>
      </c>
      <c r="D25" s="2">
        <v>150</v>
      </c>
      <c r="E25" s="2">
        <v>90</v>
      </c>
      <c r="F25" s="2">
        <v>0.9</v>
      </c>
      <c r="G25" s="2" t="s">
        <v>22</v>
      </c>
      <c r="H25" s="3">
        <v>46046</v>
      </c>
      <c r="I25">
        <f t="shared" si="1"/>
        <v>60</v>
      </c>
      <c r="J25">
        <f t="shared" si="2"/>
        <v>54</v>
      </c>
      <c r="K25" t="str">
        <f t="shared" si="0"/>
        <v>OK</v>
      </c>
    </row>
    <row r="26" spans="1:11">
      <c r="A26" s="2" t="s">
        <v>67</v>
      </c>
      <c r="B26" s="2" t="s">
        <v>68</v>
      </c>
      <c r="C26" s="2" t="s">
        <v>66</v>
      </c>
      <c r="D26" s="2">
        <v>300</v>
      </c>
      <c r="E26" s="2">
        <v>200</v>
      </c>
      <c r="F26" s="2">
        <v>0.2</v>
      </c>
      <c r="G26" s="2" t="s">
        <v>11</v>
      </c>
      <c r="H26" s="3">
        <v>46047</v>
      </c>
      <c r="I26">
        <f t="shared" si="1"/>
        <v>100</v>
      </c>
      <c r="J26">
        <f t="shared" si="2"/>
        <v>20</v>
      </c>
      <c r="K26" t="str">
        <f t="shared" si="0"/>
        <v>OK</v>
      </c>
    </row>
    <row r="27" spans="1:11">
      <c r="A27" s="2"/>
      <c r="B27" s="2"/>
      <c r="C27" s="2"/>
      <c r="D27" s="2"/>
      <c r="E27" s="2"/>
      <c r="F27" s="2"/>
      <c r="G27" s="2"/>
      <c r="H27" s="3"/>
      <c r="K27" t="str">
        <f t="shared" si="0"/>
        <v>Low Stock</v>
      </c>
    </row>
    <row r="28" spans="1:11">
      <c r="A28" s="2"/>
      <c r="B28" s="2"/>
      <c r="C28" s="2"/>
      <c r="D28" s="2"/>
      <c r="E28" s="2"/>
      <c r="F28" s="2"/>
      <c r="G28" s="2"/>
      <c r="H28" s="3"/>
      <c r="K28" t="str">
        <f t="shared" si="0"/>
        <v>Low Stock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showGridLines="0" workbookViewId="0">
      <selection activeCell="B3" sqref="B3"/>
    </sheetView>
  </sheetViews>
  <sheetFormatPr defaultRowHeight="14.5"/>
  <cols>
    <col min="1" max="1" width="63.7265625" customWidth="1"/>
    <col min="2" max="2" width="18" customWidth="1"/>
    <col min="3" max="3" width="20" customWidth="1"/>
  </cols>
  <sheetData>
    <row r="1" spans="1:2" ht="26">
      <c r="A1" s="7" t="s">
        <v>78</v>
      </c>
    </row>
    <row r="2" spans="1:2" ht="15" thickBot="1"/>
    <row r="3" spans="1:2" ht="19" thickBot="1">
      <c r="A3" s="8" t="s">
        <v>75</v>
      </c>
      <c r="B3" s="9">
        <f>SUM(Sheet1!J2:J26)</f>
        <v>5035</v>
      </c>
    </row>
    <row r="4" spans="1:2" ht="19" thickBot="1">
      <c r="A4" s="10" t="s">
        <v>76</v>
      </c>
      <c r="B4" s="9">
        <f>COUNTA(Sheet1!A2:A26)</f>
        <v>25</v>
      </c>
    </row>
    <row r="5" spans="1:2" ht="19" thickBot="1">
      <c r="A5" s="11" t="s">
        <v>77</v>
      </c>
      <c r="B5" s="9">
        <f>COUNTIF(Sheet1!I2:I26,"&lt;50")</f>
        <v>4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Pivot Table and Chart 01</vt:lpstr>
      <vt:lpstr>Pivot Table and Chart 02</vt:lpstr>
      <vt:lpstr>Sheet1</vt:lpstr>
      <vt:lpstr>Dashboard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vithu</dc:creator>
  <cp:lastModifiedBy>vithu</cp:lastModifiedBy>
  <dcterms:created xsi:type="dcterms:W3CDTF">2026-06-24T05:25:23Z</dcterms:created>
  <dcterms:modified xsi:type="dcterms:W3CDTF">2026-06-24T10:14:21Z</dcterms:modified>
</cp:coreProperties>
</file>